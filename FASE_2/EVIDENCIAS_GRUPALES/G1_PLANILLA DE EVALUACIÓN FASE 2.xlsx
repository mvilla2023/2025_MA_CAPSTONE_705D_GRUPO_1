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Docencia\DUOC\2025_2\CAPSTONE\Alumnos\Fase 2\"/>
    </mc:Choice>
  </mc:AlternateContent>
  <xr:revisionPtr revIDLastSave="0" documentId="13_ncr:1_{184DDCC8-03F6-491E-91AA-1B5FC6EAE4FB}"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G22" i="1"/>
  <c r="H22" i="1"/>
  <c r="I22" i="1" s="1"/>
  <c r="J22" i="1"/>
  <c r="K22" i="1" s="1"/>
  <c r="C27" i="1"/>
  <c r="J20" i="1"/>
  <c r="K20" i="1" s="1"/>
  <c r="H20" i="1"/>
  <c r="I20" i="1" s="1"/>
  <c r="E20" i="1"/>
  <c r="J18" i="1"/>
  <c r="K18" i="1" s="1"/>
  <c r="H18" i="1"/>
  <c r="I18" i="1" s="1"/>
  <c r="F18" i="1"/>
  <c r="G18" i="1" s="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<sst xmlns="http://schemas.openxmlformats.org/spreadsheetml/2006/main" count="179" uniqueCount="100">
  <si>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</si>
  <si>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</si>
  <si>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</si>
  <si>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</si>
  <si>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</si>
  <si>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</si>
  <si>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</si>
  <si>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</si>
  <si>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</si>
  <si>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</si>
  <si>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</si>
  <si>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</si>
  <si>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</si>
  <si>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</si>
  <si>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</si>
  <si>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</si>
  <si>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</si>
  <si>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</si>
  <si>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</si>
  <si>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</si>
  <si>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</si>
  <si>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</si>
  <si>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</si>
  <si>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</si>
  <si>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</si>
  <si>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</si>
  <si>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</si>
  <si>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</si>
  <si>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</si>
  <si>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</si>
  <si>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</si>
  <si>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</si>
  <si>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</si>
  <si>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</si>
  <si>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</si>
  <si>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</si>
  <si>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</si>
  <si>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</si>
  <si>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</si>
  <si>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</si>
  <si>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</si>
  <si>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</si>
  <si>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</si>
  <si>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</si>
  <si>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</si>
  <si>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</si>
  <si>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</si>
  <si>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</si>
  <si>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</si>
  <si>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</si>
  <si>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</si>
  <si>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</si>
  <si>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</si>
  <si>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</si>
  <si>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</si>
  <si>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</si>
  <si>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</si>
  <si>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</si>
  <si>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</si>
  <si>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</si>
  <si>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</si>
  <si>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</si>
  <si>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</si>
  <si>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</si>
  <si>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</si>
  <si>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</si>
  <si>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</si>
  <si>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</si>
  <si>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</si>
  <si>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</si>
  <si>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</si>
  <si>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</si>
  <si>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</si>
  <si>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</si>
  <si>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</si>
  <si>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</si>
  <si>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</si>
  <si>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</si>
  <si>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</si>
  <si>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</si>
  <si>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</si>
  <si>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</si>
  <si>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</si>
  <si>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</si>
  <si>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</si>
  <si>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</si>
  <si>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</si>
  <si>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</si>
  <si>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</si>
  <si>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</si>
  <si>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</si>
  <si>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</si>
  <si>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</si>
  <si>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</si>
  <si>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</si>
  <si>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GONZALEZ VIDAL FELIPE ALBERTO</t>
  </si>
  <si>
    <t>QUINONES CATALAN DYLAN</t>
  </si>
  <si>
    <t>SALAS VILLAGRA MARTIN IGNACIO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</si>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</sst>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55" sqref="F5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6.6</v>
      </c>
      <c r="D4" s="6">
        <f>$C$35</f>
        <v>7</v>
      </c>
      <c r="E4" s="43">
        <f>C4*C$2+D4*D$2</f>
        <v>6.6999999999999993</v>
      </c>
      <c r="G4" s="1"/>
    </row>
    <row r="5" spans="1:11" ht="14.4" x14ac:dyDescent="0.3">
      <c r="A5" s="5">
        <v>2</v>
      </c>
      <c r="B5" s="32" t="s">
        <v>96</v>
      </c>
      <c r="C5" s="6">
        <f>EVALUACION1!$C$24</f>
        <v>6.6</v>
      </c>
      <c r="D5" s="6">
        <f>C47</f>
        <v>6</v>
      </c>
      <c r="E5" s="43">
        <f t="shared" ref="E5:E6" si="0">C5*C$2+D5*D$2</f>
        <v>6.4499999999999993</v>
      </c>
      <c r="G5" s="1"/>
    </row>
    <row r="6" spans="1:11" ht="14.4" x14ac:dyDescent="0.3">
      <c r="A6" s="5">
        <v>3</v>
      </c>
      <c r="B6" s="32" t="s">
        <v>97</v>
      </c>
      <c r="C6" s="6">
        <f>EVALUACION1!$C$24</f>
        <v>6.6</v>
      </c>
      <c r="D6" s="6">
        <f>C58</f>
        <v>7</v>
      </c>
      <c r="E6" s="43">
        <f t="shared" si="0"/>
        <v>6.6999999999999993</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98</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99</v>
      </c>
      <c r="E14" s="16" t="str">
        <f t="shared" ref="E14" si="5">IF(D14="X",100*0.05,"")</f>
        <v/>
      </c>
      <c r="F14" s="16" t="s">
        <v>98</v>
      </c>
      <c r="G14" s="16">
        <f t="shared" ref="G14" si="6">IF(F14="X",60*0.05,"")</f>
        <v>3</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98</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99</v>
      </c>
      <c r="E16" s="16" t="str">
        <f>IF(D16="X",100*0.05,"")</f>
        <v/>
      </c>
      <c r="F16" s="16" t="s">
        <v>98</v>
      </c>
      <c r="G16" s="16">
        <f>IF(F16="X",60*0.05,"")</f>
        <v>3</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98</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98</v>
      </c>
      <c r="E18" s="16">
        <f t="shared" ref="E18" si="17">IF(D18="X",100*0.1,"")</f>
        <v>10</v>
      </c>
      <c r="F18" s="16" t="str">
        <f t="shared" ref="F18:F21" si="18">IF($C18=L,"X","")</f>
        <v/>
      </c>
      <c r="G18" s="16" t="str">
        <f t="shared" ref="G18" si="19">IF(F18="X",60*0.1,"")</f>
        <v/>
      </c>
      <c r="H18" s="16" t="str">
        <f t="shared" si="13"/>
        <v/>
      </c>
      <c r="I18" s="16" t="str">
        <f t="shared" ref="I18" si="20">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98</v>
      </c>
      <c r="E19" s="16">
        <f>IF(D19="X",100*0.05,"")</f>
        <v>5</v>
      </c>
      <c r="F19" s="16"/>
      <c r="G19" s="16" t="str">
        <f t="shared" ref="G19" si="21">IF(F19="X",60*0.05,"")</f>
        <v/>
      </c>
      <c r="H19" s="16" t="str">
        <f t="shared" si="13"/>
        <v/>
      </c>
      <c r="I19" s="16" t="str">
        <f t="shared" ref="I19" si="22">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98</v>
      </c>
      <c r="E20" s="16">
        <f>IF(D20="X",100*0.05,"")</f>
        <v>5</v>
      </c>
      <c r="F20" s="16" t="str">
        <f t="shared" si="18"/>
        <v/>
      </c>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98</v>
      </c>
      <c r="E21" s="16">
        <f t="shared" si="8"/>
        <v>5</v>
      </c>
      <c r="F21" s="16" t="str">
        <f t="shared" si="18"/>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98</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0" t="s">
        <v>13</v>
      </c>
      <c r="B27" s="49" t="s">
        <v>14</v>
      </c>
      <c r="C27" s="52" t="str">
        <f>$B$4</f>
        <v>GONZALEZ VIDAL FELIPE ALBERTO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
        <v>98</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
        <v>98</v>
      </c>
      <c r="E32" s="16">
        <f>IF(D32="X",100*0.1,"")</f>
        <v>10</v>
      </c>
      <c r="F32" s="16" t="str">
        <f t="shared" si="23"/>
        <v/>
      </c>
      <c r="G32" s="16" t="str">
        <f>IF(F32="X",60*0.1,"")</f>
        <v/>
      </c>
      <c r="H32" s="16" t="str">
        <f t="shared" si="24"/>
        <v/>
      </c>
      <c r="I32" s="16" t="str">
        <f>IF(H32="X",30*0.1,"")</f>
        <v/>
      </c>
      <c r="J32" s="16" t="str">
        <f t="shared" si="25"/>
        <v/>
      </c>
      <c r="K32" s="16" t="str">
        <f t="shared" si="26"/>
        <v/>
      </c>
    </row>
    <row r="33" spans="1:11" ht="14.4" x14ac:dyDescent="0.3">
      <c r="A33" s="61"/>
      <c r="B33" s="35" t="str">
        <f>RUBRICA!A17</f>
        <v>13. Colaboración y trabajo en equipo *</v>
      </c>
      <c r="C33" s="33" t="s">
        <v>7</v>
      </c>
      <c r="D33" s="16" t="s">
        <v>98</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QUINONES CATALAN DYLAN</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
        <v>98</v>
      </c>
      <c r="E43" s="16">
        <f>IF(D43="X",100*0.1,"")</f>
        <v>10</v>
      </c>
      <c r="F43" s="16" t="str">
        <f t="shared" ref="F43"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3">
      <c r="A44" s="61"/>
      <c r="B44" s="35" t="str">
        <f>RUBRICA!A15</f>
        <v>11. Expone el tema utilizando un lenguaje técnico disciplinar al presentar la propuesta y responde evidenciando un manejo de la información. *</v>
      </c>
      <c r="C44" s="33" t="s">
        <v>7</v>
      </c>
      <c r="D44" s="16" t="s">
        <v>99</v>
      </c>
      <c r="E44" s="16" t="str">
        <f>IF(D44="X",100*0.1,"")</f>
        <v/>
      </c>
      <c r="F44" s="16" t="s">
        <v>98</v>
      </c>
      <c r="G44" s="16">
        <f>IF(F44="X",60*0.1,"")</f>
        <v>6</v>
      </c>
      <c r="H44" s="16" t="str">
        <f t="shared" si="29"/>
        <v/>
      </c>
      <c r="I44" s="16" t="str">
        <f>IF(H44="X",30*0.1,"")</f>
        <v/>
      </c>
      <c r="J44" s="16" t="str">
        <f t="shared" si="30"/>
        <v/>
      </c>
      <c r="K44" s="16" t="str">
        <f t="shared" si="31"/>
        <v/>
      </c>
    </row>
    <row r="45" spans="1:11" ht="15.75" customHeight="1" x14ac:dyDescent="0.3">
      <c r="A45" s="61"/>
      <c r="B45" s="35" t="str">
        <f>RUBRICA!A17</f>
        <v>13. Colaboración y trabajo en equipo *</v>
      </c>
      <c r="C45" s="33" t="s">
        <v>7</v>
      </c>
      <c r="D45" s="16" t="s">
        <v>98</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26</v>
      </c>
      <c r="D46" s="19"/>
      <c r="E46" s="19">
        <f>SUM(E43:E45)</f>
        <v>20</v>
      </c>
      <c r="F46" s="19"/>
      <c r="G46" s="19">
        <f t="shared" ref="G46" si="32">SUM(G43:G45)</f>
        <v>6</v>
      </c>
      <c r="H46" s="19"/>
      <c r="I46" s="19">
        <f t="shared" ref="I46" si="33">SUM(I43:I45)</f>
        <v>0</v>
      </c>
      <c r="J46" s="19"/>
      <c r="K46" s="19">
        <f t="shared" ref="K46" si="34">SUM(K43:K45)</f>
        <v>0</v>
      </c>
    </row>
    <row r="47" spans="1:11" ht="15.75" customHeight="1" x14ac:dyDescent="0.35">
      <c r="A47" s="50"/>
      <c r="B47" s="17" t="s">
        <v>12</v>
      </c>
      <c r="C47" s="20">
        <f>VLOOKUP(C46,ESCALA_TRAB_EQUIP!A2:B62,2,FALSE)</f>
        <v>6</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SALAS VILLAGRA MARTIN IGNACIO</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
        <v>98</v>
      </c>
      <c r="E54" s="16">
        <f>IF(D54="X",100*0.1,"")</f>
        <v>10</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3">
      <c r="A55" s="61"/>
      <c r="B55" s="35" t="str">
        <f>RUBRICA!A15</f>
        <v>11. Expone el tema utilizando un lenguaje técnico disciplinar al presentar la propuesta y responde evidenciando un manejo de la información. *</v>
      </c>
      <c r="C55" s="33" t="s">
        <v>7</v>
      </c>
      <c r="D55" s="16" t="s">
        <v>98</v>
      </c>
      <c r="E55" s="16">
        <f>IF(D55="X",100*0.1,"")</f>
        <v>10</v>
      </c>
      <c r="F55" s="16"/>
      <c r="G55" s="16" t="str">
        <f>IF(F55="X",60*0.1,"")</f>
        <v/>
      </c>
      <c r="H55" s="16" t="str">
        <f t="shared" si="36"/>
        <v/>
      </c>
      <c r="I55" s="16" t="str">
        <f>IF(H55="X",30*0.1,"")</f>
        <v/>
      </c>
      <c r="J55" s="16" t="str">
        <f t="shared" si="37"/>
        <v/>
      </c>
      <c r="K55" s="16" t="str">
        <f t="shared" si="38"/>
        <v/>
      </c>
    </row>
    <row r="56" spans="1:11" ht="15.75" customHeight="1" x14ac:dyDescent="0.3">
      <c r="A56" s="61"/>
      <c r="B56" s="35" t="str">
        <f>RUBRICA!A17</f>
        <v>13. Colaboración y trabajo en equipo *</v>
      </c>
      <c r="C56" s="33" t="s">
        <v>7</v>
      </c>
      <c r="D56" s="16" t="s">
        <v>98</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2025-10-21T19:38:54Z</dcterms:modified>
  <cp:category/>
  <cp:contentStatus/>
</cp:coreProperties>
</file>